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Despesas até 9 de setmbro" sheetId="1" r:id="rId1"/>
    <sheet name="Luquinha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4" l="1"/>
  <c r="E44" i="4"/>
  <c r="B43" i="4"/>
  <c r="H33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6" i="4"/>
  <c r="G5" i="4"/>
  <c r="G28" i="4" s="1"/>
  <c r="G37" i="4" s="1"/>
  <c r="E5" i="4"/>
  <c r="E28" i="4" s="1"/>
  <c r="F14" i="4" s="1"/>
  <c r="B5" i="4"/>
  <c r="B28" i="4" s="1"/>
  <c r="D4" i="4"/>
  <c r="H4" i="4"/>
  <c r="E28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I4" i="1"/>
  <c r="I29" i="1"/>
  <c r="G33" i="1"/>
  <c r="F12" i="4" l="1"/>
  <c r="F21" i="4"/>
  <c r="F8" i="4"/>
  <c r="I8" i="4" s="1"/>
  <c r="D8" i="4" s="1"/>
  <c r="F11" i="4"/>
  <c r="I11" i="4" s="1"/>
  <c r="D11" i="4" s="1"/>
  <c r="F22" i="4"/>
  <c r="F25" i="4"/>
  <c r="I25" i="4" s="1"/>
  <c r="D25" i="4" s="1"/>
  <c r="I22" i="4"/>
  <c r="D22" i="4" s="1"/>
  <c r="I19" i="4"/>
  <c r="D19" i="4" s="1"/>
  <c r="F16" i="4"/>
  <c r="I16" i="4" s="1"/>
  <c r="D16" i="4" s="1"/>
  <c r="F13" i="4"/>
  <c r="I13" i="4" s="1"/>
  <c r="D13" i="4" s="1"/>
  <c r="F10" i="4"/>
  <c r="I10" i="4" s="1"/>
  <c r="D10" i="4" s="1"/>
  <c r="F6" i="4"/>
  <c r="I6" i="4" s="1"/>
  <c r="D6" i="4" s="1"/>
  <c r="F24" i="4"/>
  <c r="I24" i="4" s="1"/>
  <c r="D24" i="4" s="1"/>
  <c r="I21" i="4"/>
  <c r="D21" i="4" s="1"/>
  <c r="F15" i="4"/>
  <c r="I15" i="4" s="1"/>
  <c r="D15" i="4" s="1"/>
  <c r="I12" i="4"/>
  <c r="D12" i="4" s="1"/>
  <c r="F23" i="4"/>
  <c r="I23" i="4" s="1"/>
  <c r="D23" i="4" s="1"/>
  <c r="I17" i="4"/>
  <c r="D17" i="4" s="1"/>
  <c r="F4" i="4"/>
  <c r="F18" i="4"/>
  <c r="I18" i="4" s="1"/>
  <c r="D18" i="4" s="1"/>
  <c r="F9" i="4"/>
  <c r="I9" i="4" s="1"/>
  <c r="D9" i="4" s="1"/>
  <c r="F26" i="4"/>
  <c r="I26" i="4" s="1"/>
  <c r="D26" i="4" s="1"/>
  <c r="F20" i="4"/>
  <c r="I20" i="4" s="1"/>
  <c r="D20" i="4" s="1"/>
  <c r="D14" i="4"/>
  <c r="F7" i="4"/>
  <c r="I7" i="4" s="1"/>
  <c r="D7" i="4" s="1"/>
  <c r="C7" i="4"/>
  <c r="C22" i="4"/>
  <c r="C16" i="4"/>
  <c r="C13" i="4"/>
  <c r="C10" i="4"/>
  <c r="C6" i="4"/>
  <c r="C18" i="4"/>
  <c r="C15" i="4"/>
  <c r="C9" i="4"/>
  <c r="C17" i="4"/>
  <c r="C11" i="4"/>
  <c r="C25" i="4"/>
  <c r="C19" i="4"/>
  <c r="C24" i="4"/>
  <c r="C20" i="4"/>
  <c r="C4" i="4"/>
  <c r="C21" i="4"/>
  <c r="C12" i="4"/>
  <c r="C26" i="4"/>
  <c r="C23" i="4"/>
  <c r="C14" i="4"/>
  <c r="C8" i="4"/>
  <c r="F5" i="4"/>
  <c r="I5" i="4" s="1"/>
  <c r="D5" i="4" s="1"/>
  <c r="H5" i="4"/>
  <c r="H28" i="4" s="1"/>
  <c r="H37" i="4" s="1"/>
  <c r="C5" i="4"/>
  <c r="C28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4" i="1"/>
  <c r="F5" i="1"/>
  <c r="G5" i="1" s="1"/>
  <c r="G44" i="1"/>
  <c r="D44" i="1"/>
  <c r="B43" i="1"/>
  <c r="D5" i="1"/>
  <c r="B5" i="1"/>
  <c r="B28" i="1" s="1"/>
  <c r="D28" i="4" l="1"/>
  <c r="F28" i="4"/>
  <c r="C28" i="4"/>
  <c r="I28" i="4"/>
  <c r="D28" i="1"/>
  <c r="E5" i="1" s="1"/>
  <c r="H5" i="1" s="1"/>
  <c r="G28" i="1"/>
  <c r="G37" i="1" s="1"/>
  <c r="F28" i="1"/>
  <c r="F37" i="1" s="1"/>
  <c r="E15" i="1" l="1"/>
  <c r="H15" i="1" s="1"/>
  <c r="E26" i="1"/>
  <c r="H26" i="1" s="1"/>
  <c r="E14" i="1"/>
  <c r="H14" i="1" s="1"/>
  <c r="E10" i="1"/>
  <c r="H10" i="1" s="1"/>
  <c r="E21" i="1"/>
  <c r="H21" i="1" s="1"/>
  <c r="E7" i="1"/>
  <c r="H7" i="1" s="1"/>
  <c r="E18" i="1"/>
  <c r="H18" i="1" s="1"/>
  <c r="E25" i="1"/>
  <c r="H25" i="1" s="1"/>
  <c r="E13" i="1"/>
  <c r="H13" i="1" s="1"/>
  <c r="E23" i="1"/>
  <c r="H23" i="1" s="1"/>
  <c r="E9" i="1"/>
  <c r="H9" i="1" s="1"/>
  <c r="E8" i="1"/>
  <c r="H8" i="1" s="1"/>
  <c r="E17" i="1"/>
  <c r="H17" i="1" s="1"/>
  <c r="E4" i="1"/>
  <c r="E24" i="1"/>
  <c r="H24" i="1" s="1"/>
  <c r="E12" i="1"/>
  <c r="H12" i="1" s="1"/>
  <c r="E11" i="1"/>
  <c r="H11" i="1" s="1"/>
  <c r="E22" i="1"/>
  <c r="H22" i="1" s="1"/>
  <c r="E20" i="1"/>
  <c r="H20" i="1" s="1"/>
  <c r="E19" i="1"/>
  <c r="H19" i="1" s="1"/>
  <c r="E6" i="1"/>
  <c r="H6" i="1" s="1"/>
  <c r="E16" i="1"/>
  <c r="H16" i="1" s="1"/>
  <c r="H28" i="1" l="1"/>
</calcChain>
</file>

<file path=xl/sharedStrings.xml><?xml version="1.0" encoding="utf-8"?>
<sst xmlns="http://schemas.openxmlformats.org/spreadsheetml/2006/main" count="87" uniqueCount="48">
  <si>
    <t>Previsão até Dezembro /26</t>
  </si>
  <si>
    <t>Valor</t>
  </si>
  <si>
    <t>Câmara de Vereadores</t>
  </si>
  <si>
    <t xml:space="preserve">Gabinete </t>
  </si>
  <si>
    <t>Manut. Gab.</t>
  </si>
  <si>
    <t>Centro Integrado Btn</t>
  </si>
  <si>
    <t xml:space="preserve">Ouvidoria </t>
  </si>
  <si>
    <t xml:space="preserve">Assessoria de Comunicação </t>
  </si>
  <si>
    <t xml:space="preserve">Gabinete do Vice </t>
  </si>
  <si>
    <t>Dotação atualizada</t>
  </si>
  <si>
    <t>Procuradoria</t>
  </si>
  <si>
    <t>Controladoria</t>
  </si>
  <si>
    <t>Planejamento Estratégico</t>
  </si>
  <si>
    <t xml:space="preserve">Administração </t>
  </si>
  <si>
    <t>Fazenda</t>
  </si>
  <si>
    <t>1% Pasep</t>
  </si>
  <si>
    <t>2% das emendas impositivas Vereadores</t>
  </si>
  <si>
    <t>Tecnologia e inovação</t>
  </si>
  <si>
    <t>Educação</t>
  </si>
  <si>
    <t>Assistência Social</t>
  </si>
  <si>
    <t>Saúde</t>
  </si>
  <si>
    <t>Política para a Mulher e cidadania</t>
  </si>
  <si>
    <t>Meio ambiente e serviços públicos</t>
  </si>
  <si>
    <t>Infra estrutura</t>
  </si>
  <si>
    <t>Turismo, indústria e comércio</t>
  </si>
  <si>
    <t>Cultura e Esporte</t>
  </si>
  <si>
    <t>Desenvolvimento Rural</t>
  </si>
  <si>
    <t>Ordem Pública</t>
  </si>
  <si>
    <t xml:space="preserve">Dias até 9/9 </t>
  </si>
  <si>
    <t>Pagos até 09/09</t>
  </si>
  <si>
    <t>Arrecadada até 9/9</t>
  </si>
  <si>
    <t>Prevista até Dezembro 2026</t>
  </si>
  <si>
    <t>Total</t>
  </si>
  <si>
    <t>Previsão 2027</t>
  </si>
  <si>
    <t xml:space="preserve">Prevista para 2027 </t>
  </si>
  <si>
    <t>Receita Prevista no orç. 2026</t>
  </si>
  <si>
    <t>Saldo até 9/9</t>
  </si>
  <si>
    <t>Saldo previsto dezembro 2026</t>
  </si>
  <si>
    <t>15% Saúde</t>
  </si>
  <si>
    <t>25% Educação</t>
  </si>
  <si>
    <t>Orçamento das Despesas 2026</t>
  </si>
  <si>
    <t>% do Orçamento 2026</t>
  </si>
  <si>
    <t>% do Orç. Atualizado até 9/9</t>
  </si>
  <si>
    <t>% do Orçamento 2027</t>
  </si>
  <si>
    <t>Educação 25%</t>
  </si>
  <si>
    <t>Saúde 15%</t>
  </si>
  <si>
    <t>Orçamento das DESPESAS 2026</t>
  </si>
  <si>
    <t>Fazenda (Principal da dívida e Emendas impositivas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</si>
</sst>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0_-;\-* #,##0.000_-;_-* &quot;-&quot;??_-;_-@_-"/>
    <numFmt numFmtId="165" formatCode="_-* #,##0.0_-;\-* #,##0.0_-;_-* &quot;-&quot;??_-;_-@_-"/>
    <numFmt numFmtId="166" formatCode="_-* #,##0_-;\-* #,##0_-;_-* &quot;-&quot;??_-;_-@_-"/>
    <numFmt numFmtId="167" formatCode="_-* #,##0.0000_-;\-* #,##0.0000_-;_-* &quot;-&quot;??_-;_-@_-"/>
    <numFmt numFmtId="168" formatCode="_-* #,##0.00000_-;\-* #,##0.0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3" fontId="0" fillId="3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1" applyNumberFormat="1" applyFont="1" applyAlignment="1">
      <alignment horizontal="center"/>
    </xf>
    <xf numFmtId="43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43" fontId="0" fillId="4" borderId="0" xfId="1" applyFont="1" applyFill="1" applyAlignment="1">
      <alignment horizontal="center"/>
    </xf>
    <xf numFmtId="43" fontId="0" fillId="5" borderId="0" xfId="1" applyFont="1" applyFill="1" applyAlignment="1">
      <alignment horizontal="center"/>
    </xf>
    <xf numFmtId="0" fontId="0" fillId="6" borderId="0" xfId="0" applyFill="1" applyAlignment="1">
      <alignment horizontal="center"/>
    </xf>
    <xf numFmtId="43" fontId="0" fillId="6" borderId="0" xfId="1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43" fontId="0" fillId="5" borderId="0" xfId="1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165" fontId="0" fillId="3" borderId="0" xfId="1" applyNumberFormat="1" applyFont="1" applyFill="1" applyAlignment="1">
      <alignment horizontal="center"/>
    </xf>
    <xf numFmtId="166" fontId="0" fillId="3" borderId="0" xfId="1" applyNumberFormat="1" applyFont="1" applyFill="1" applyAlignment="1">
      <alignment horizontal="center"/>
    </xf>
    <xf numFmtId="165" fontId="0" fillId="4" borderId="0" xfId="1" applyNumberFormat="1" applyFont="1" applyFill="1" applyAlignment="1">
      <alignment horizontal="center"/>
    </xf>
    <xf numFmtId="167" fontId="0" fillId="0" borderId="0" xfId="0" applyNumberFormat="1"/>
    <xf numFmtId="0" fontId="0" fillId="6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selection activeCell="E5" sqref="E5"/>
    </sheetView>
  </sheetViews>
  <sheetFormatPr defaultRowHeight="15" x14ac:dyDescent="0.25"/>
  <cols>
    <col min="1" max="1" width="41.28515625" style="1" customWidth="1"/>
    <col min="2" max="4" width="22.7109375" style="1" customWidth="1"/>
    <col min="5" max="5" width="28" style="1" customWidth="1"/>
    <col min="6" max="6" width="26.42578125" style="1" customWidth="1"/>
    <col min="7" max="7" width="31.85546875" style="1" customWidth="1"/>
    <col min="8" max="8" width="36.28515625" style="1" customWidth="1"/>
    <col min="9" max="9" width="19.5703125" style="1" customWidth="1"/>
    <col min="10" max="11" width="9.140625" style="1" customWidth="1"/>
    <col min="12" max="16384" width="9.140625" style="1"/>
  </cols>
  <sheetData>
    <row r="1" spans="1:9" x14ac:dyDescent="0.25">
      <c r="A1" s="1" t="s">
        <v>40</v>
      </c>
      <c r="B1" s="1" t="s">
        <v>1</v>
      </c>
      <c r="C1" s="1" t="s">
        <v>41</v>
      </c>
      <c r="D1" s="1" t="s">
        <v>9</v>
      </c>
      <c r="E1" s="1" t="s">
        <v>42</v>
      </c>
      <c r="F1" s="1" t="s">
        <v>29</v>
      </c>
      <c r="G1" s="1" t="s">
        <v>0</v>
      </c>
      <c r="H1" s="1" t="s">
        <v>33</v>
      </c>
    </row>
    <row r="4" spans="1:9" s="16" customFormat="1" x14ac:dyDescent="0.25">
      <c r="A4" s="16" t="s">
        <v>2</v>
      </c>
      <c r="B4" s="17">
        <v>20810000</v>
      </c>
      <c r="C4" s="15">
        <f>(B4/B28)*100</f>
        <v>3.0770504674721315</v>
      </c>
      <c r="D4" s="17">
        <v>20810000</v>
      </c>
      <c r="E4" s="19">
        <f>(D4/D28)*100</f>
        <v>3.0519507719577277</v>
      </c>
      <c r="F4" s="17">
        <v>12504192.1</v>
      </c>
      <c r="G4" s="17">
        <f>(F4/252)*365</f>
        <v>18111230.621031746</v>
      </c>
      <c r="H4" s="17">
        <v>21500000</v>
      </c>
      <c r="I4" s="20">
        <f>(H4/H29)*100</f>
        <v>3.1617647058823528</v>
      </c>
    </row>
    <row r="5" spans="1:9" x14ac:dyDescent="0.25">
      <c r="A5" s="1" t="s">
        <v>3</v>
      </c>
      <c r="B5" s="2">
        <f>B6+B7+B8+B9</f>
        <v>10218000</v>
      </c>
      <c r="C5" s="18">
        <f>(B5/B28)*100</f>
        <v>1.5108746600975607</v>
      </c>
      <c r="D5" s="2">
        <f>D6+D7+D8+D9</f>
        <v>9391194</v>
      </c>
      <c r="E5" s="9">
        <f>(D5/D28)*100</f>
        <v>1.3772927332006142</v>
      </c>
      <c r="F5" s="2">
        <f>F6+F7+F8+F9</f>
        <v>5029958.01</v>
      </c>
      <c r="G5" s="2">
        <f t="shared" ref="G5:G26" si="0">(F5/252)*365</f>
        <v>7285455.0541666662</v>
      </c>
      <c r="H5" s="2">
        <f>(E5/100)*H29</f>
        <v>9365590.5857641771</v>
      </c>
    </row>
    <row r="6" spans="1:9" x14ac:dyDescent="0.25">
      <c r="A6" s="3" t="s">
        <v>4</v>
      </c>
      <c r="B6" s="2">
        <v>4073000</v>
      </c>
      <c r="C6" s="18">
        <f>(B6/B28)*100</f>
        <v>0.60225019481085973</v>
      </c>
      <c r="D6" s="2">
        <v>4705194</v>
      </c>
      <c r="E6" s="9">
        <f>(D6/D28)*100</f>
        <v>0.69005384240801859</v>
      </c>
      <c r="F6" s="2">
        <v>3010273.81</v>
      </c>
      <c r="G6" s="2">
        <f t="shared" si="0"/>
        <v>4360118.8121031746</v>
      </c>
      <c r="H6" s="2">
        <f>(E6/100)*H29</f>
        <v>4692366.1283745263</v>
      </c>
    </row>
    <row r="7" spans="1:9" x14ac:dyDescent="0.25">
      <c r="A7" s="3" t="s">
        <v>5</v>
      </c>
      <c r="B7" s="2">
        <v>595000</v>
      </c>
      <c r="C7" s="18">
        <f>(B7/B28)*100</f>
        <v>8.7979097940697651E-2</v>
      </c>
      <c r="D7" s="2">
        <v>19000</v>
      </c>
      <c r="E7" s="8">
        <f>(D7/D28)*100</f>
        <v>2.7864999840075361E-3</v>
      </c>
      <c r="F7" s="2">
        <v>0</v>
      </c>
      <c r="G7" s="2">
        <v>0</v>
      </c>
      <c r="H7" s="2">
        <f>(E7/100)*H29</f>
        <v>18948.199891251246</v>
      </c>
    </row>
    <row r="8" spans="1:9" x14ac:dyDescent="0.25">
      <c r="A8" s="3" t="s">
        <v>6</v>
      </c>
      <c r="B8" s="2">
        <v>141000</v>
      </c>
      <c r="C8" s="18">
        <f>(B8/B28)*100</f>
        <v>2.0848828251493055E-2</v>
      </c>
      <c r="D8" s="2">
        <v>153000</v>
      </c>
      <c r="E8" s="9">
        <f>(D8/D28)*100</f>
        <v>2.2438657765955421E-2</v>
      </c>
      <c r="F8" s="2">
        <v>66266.67</v>
      </c>
      <c r="G8" s="2">
        <f t="shared" si="0"/>
        <v>95981.486309523811</v>
      </c>
      <c r="H8" s="2">
        <f>(E8/100)*H29</f>
        <v>152582.87280849688</v>
      </c>
    </row>
    <row r="9" spans="1:9" x14ac:dyDescent="0.25">
      <c r="A9" s="3" t="s">
        <v>7</v>
      </c>
      <c r="B9" s="2">
        <v>5409000</v>
      </c>
      <c r="C9" s="18">
        <f>(B9/B28)*100</f>
        <v>0.79979653909451021</v>
      </c>
      <c r="D9" s="2">
        <v>4514000</v>
      </c>
      <c r="E9" s="9">
        <f>(D9/D28)*100</f>
        <v>0.66201373304263256</v>
      </c>
      <c r="F9" s="2">
        <v>1953417.53</v>
      </c>
      <c r="G9" s="2">
        <f t="shared" si="0"/>
        <v>2829354.7557539684</v>
      </c>
      <c r="H9" s="2">
        <f>(E9/100)*H29</f>
        <v>4501693.384689902</v>
      </c>
    </row>
    <row r="10" spans="1:9" x14ac:dyDescent="0.25">
      <c r="A10" s="1" t="s">
        <v>8</v>
      </c>
      <c r="B10" s="2">
        <v>427000</v>
      </c>
      <c r="C10" s="18">
        <f>(B10/B28)*100</f>
        <v>6.3137940875088894E-2</v>
      </c>
      <c r="D10" s="2">
        <v>469700</v>
      </c>
      <c r="E10" s="9">
        <f>(D10/D28)*100</f>
        <v>6.8885212762544196E-2</v>
      </c>
      <c r="F10" s="2">
        <v>254825.55</v>
      </c>
      <c r="G10" s="2">
        <f t="shared" si="0"/>
        <v>369092.5625</v>
      </c>
      <c r="H10" s="2">
        <f>(E10/100)*H29</f>
        <v>468419.44678530056</v>
      </c>
    </row>
    <row r="11" spans="1:9" x14ac:dyDescent="0.25">
      <c r="A11" s="1" t="s">
        <v>10</v>
      </c>
      <c r="B11" s="2">
        <v>1963000</v>
      </c>
      <c r="C11" s="18">
        <f>(B11/B28)*100</f>
        <v>0.29025709118922605</v>
      </c>
      <c r="D11" s="2">
        <v>2244703</v>
      </c>
      <c r="E11" s="9">
        <f>(D11/D28)*100</f>
        <v>0.32920341440008782</v>
      </c>
      <c r="F11" s="2">
        <v>1930907.64</v>
      </c>
      <c r="G11" s="2">
        <f t="shared" si="0"/>
        <v>2796751.145238095</v>
      </c>
      <c r="H11" s="2">
        <f>(E11/100)*H29</f>
        <v>2238583.2179205972</v>
      </c>
    </row>
    <row r="12" spans="1:9" x14ac:dyDescent="0.25">
      <c r="A12" s="1" t="s">
        <v>11</v>
      </c>
      <c r="B12" s="2">
        <v>989000</v>
      </c>
      <c r="C12" s="18">
        <f>(B12/B28)*100</f>
        <v>0.14623752582075628</v>
      </c>
      <c r="D12" s="2">
        <v>1072831</v>
      </c>
      <c r="E12" s="9">
        <f>(D12/D28)*100</f>
        <v>0.15733913496540994</v>
      </c>
      <c r="F12" s="2">
        <v>546359.03</v>
      </c>
      <c r="G12" s="2">
        <f t="shared" si="0"/>
        <v>791353.35694444447</v>
      </c>
      <c r="H12" s="2">
        <f>(E12/100)*H29</f>
        <v>1069906.1177647875</v>
      </c>
    </row>
    <row r="13" spans="1:9" x14ac:dyDescent="0.25">
      <c r="A13" s="1" t="s">
        <v>12</v>
      </c>
      <c r="B13" s="2">
        <v>648000</v>
      </c>
      <c r="C13" s="18">
        <f>(B13/B28)*100</f>
        <v>9.5815891538776593E-2</v>
      </c>
      <c r="D13" s="2">
        <v>650000</v>
      </c>
      <c r="E13" s="9">
        <f>(D13/D28)*100</f>
        <v>9.5327631031836751E-2</v>
      </c>
      <c r="F13" s="2">
        <v>279831.45</v>
      </c>
      <c r="G13" s="2">
        <f t="shared" si="0"/>
        <v>405311.42559523816</v>
      </c>
      <c r="H13" s="2">
        <f>(E13/100)*H29</f>
        <v>648227.89101648994</v>
      </c>
    </row>
    <row r="14" spans="1:9" x14ac:dyDescent="0.25">
      <c r="A14" s="1" t="s">
        <v>13</v>
      </c>
      <c r="B14" s="2">
        <v>18504000</v>
      </c>
      <c r="C14" s="18">
        <f>(B14/B28)*100</f>
        <v>2.7360760139406208</v>
      </c>
      <c r="D14" s="2">
        <v>19279364.989999998</v>
      </c>
      <c r="E14" s="9">
        <f>(D14/D28)*100</f>
        <v>2.8274710650689707</v>
      </c>
      <c r="F14" s="2">
        <v>12713192.970000001</v>
      </c>
      <c r="G14" s="2">
        <f t="shared" si="0"/>
        <v>18413950.135119047</v>
      </c>
      <c r="H14" s="2">
        <f>(E14/100)*H29</f>
        <v>19226803.242469002</v>
      </c>
    </row>
    <row r="15" spans="1:9" x14ac:dyDescent="0.25">
      <c r="A15" s="1" t="s">
        <v>14</v>
      </c>
      <c r="B15" s="2">
        <v>51329000</v>
      </c>
      <c r="C15" s="18">
        <f>(B15/B28)*100</f>
        <v>7.5897128036942343</v>
      </c>
      <c r="D15" s="2">
        <v>49363905.520000003</v>
      </c>
      <c r="E15" s="9">
        <f>(D15/D28)*100</f>
        <v>7.2396064180015536</v>
      </c>
      <c r="F15" s="2">
        <v>29646547.460000001</v>
      </c>
      <c r="G15" s="2">
        <f t="shared" si="0"/>
        <v>42940435.805158734</v>
      </c>
      <c r="H15" s="2">
        <f>(E15/100)*H29</f>
        <v>49229323.642410569</v>
      </c>
    </row>
    <row r="16" spans="1:9" x14ac:dyDescent="0.25">
      <c r="A16" s="1" t="s">
        <v>17</v>
      </c>
      <c r="B16" s="2">
        <v>7034000</v>
      </c>
      <c r="C16" s="18">
        <f>(B16/B28)*100</f>
        <v>1.0400755880922139</v>
      </c>
      <c r="D16" s="2">
        <v>6125585</v>
      </c>
      <c r="E16" s="9">
        <f>(D16/D28)*100</f>
        <v>0.89836539497562118</v>
      </c>
      <c r="F16" s="2">
        <v>1474353.63</v>
      </c>
      <c r="G16" s="2">
        <f t="shared" si="0"/>
        <v>2135472.5196428569</v>
      </c>
      <c r="H16" s="2">
        <f>(E16/100)*H29</f>
        <v>6108884.6858342243</v>
      </c>
    </row>
    <row r="17" spans="1:9" x14ac:dyDescent="0.25">
      <c r="A17" s="1" t="s">
        <v>18</v>
      </c>
      <c r="B17" s="2">
        <v>220071000</v>
      </c>
      <c r="C17" s="18">
        <f>(B17/B28)*100</f>
        <v>32.54058497967609</v>
      </c>
      <c r="D17" s="2">
        <v>220328611</v>
      </c>
      <c r="E17" s="9">
        <f>(D17/D28)*100</f>
        <v>32.312930054100136</v>
      </c>
      <c r="F17" s="2">
        <v>125412932.61</v>
      </c>
      <c r="G17" s="2">
        <f t="shared" si="0"/>
        <v>181649684.13749999</v>
      </c>
      <c r="H17" s="2">
        <f>(E17/100)*H29</f>
        <v>219727924.36788094</v>
      </c>
    </row>
    <row r="18" spans="1:9" x14ac:dyDescent="0.25">
      <c r="A18" s="1" t="s">
        <v>19</v>
      </c>
      <c r="B18" s="2">
        <v>24447000</v>
      </c>
      <c r="C18" s="18">
        <f>(B18/B28)*100</f>
        <v>3.6148319451365305</v>
      </c>
      <c r="D18" s="2">
        <v>24271684</v>
      </c>
      <c r="E18" s="9">
        <f>(D18/D28)*100</f>
        <v>3.5596340567282088</v>
      </c>
      <c r="F18" s="2">
        <v>14037677.84</v>
      </c>
      <c r="G18" s="2">
        <f t="shared" si="0"/>
        <v>20332350.839682538</v>
      </c>
      <c r="H18" s="2">
        <f>(E18/100)*H29</f>
        <v>24205511.58575182</v>
      </c>
    </row>
    <row r="19" spans="1:9" x14ac:dyDescent="0.25">
      <c r="A19" s="1" t="s">
        <v>20</v>
      </c>
      <c r="B19" s="2">
        <v>194420000</v>
      </c>
      <c r="C19" s="18">
        <f>(B19/B28)*100</f>
        <v>28.747724742236031</v>
      </c>
      <c r="D19" s="2">
        <v>197903493.77000001</v>
      </c>
      <c r="E19" s="9">
        <f>(D19/D28)*100</f>
        <v>29.024109590796872</v>
      </c>
      <c r="F19" s="2">
        <v>123238651.84</v>
      </c>
      <c r="G19" s="2">
        <f t="shared" si="0"/>
        <v>178500428.26031747</v>
      </c>
      <c r="H19" s="2">
        <f>(E19/100)*H29</f>
        <v>197363945.21741873</v>
      </c>
    </row>
    <row r="20" spans="1:9" x14ac:dyDescent="0.25">
      <c r="A20" s="1" t="s">
        <v>21</v>
      </c>
      <c r="B20" s="2">
        <v>1011000</v>
      </c>
      <c r="C20" s="18">
        <f>(B20/B28)*100</f>
        <v>0.14949053448410979</v>
      </c>
      <c r="D20" s="2">
        <v>1064467</v>
      </c>
      <c r="E20" s="9">
        <f>(D20/D28)*100</f>
        <v>0.15611248834087105</v>
      </c>
      <c r="F20" s="2">
        <v>468646.64</v>
      </c>
      <c r="G20" s="2">
        <f t="shared" si="0"/>
        <v>678793.74444444443</v>
      </c>
      <c r="H20" s="2">
        <f>(E20/100)*H29</f>
        <v>1061564.9207179232</v>
      </c>
    </row>
    <row r="21" spans="1:9" x14ac:dyDescent="0.25">
      <c r="A21" s="1" t="s">
        <v>22</v>
      </c>
      <c r="B21" s="2">
        <v>39095000</v>
      </c>
      <c r="C21" s="18">
        <f>(B21/B28)*100</f>
        <v>5.7807442588093689</v>
      </c>
      <c r="D21" s="2">
        <v>37159923</v>
      </c>
      <c r="E21" s="9">
        <f>(D21/D28)*100</f>
        <v>5.4497960444853302</v>
      </c>
      <c r="F21" s="2">
        <v>17775248.23</v>
      </c>
      <c r="G21" s="2">
        <f t="shared" si="0"/>
        <v>25745895.253769841</v>
      </c>
      <c r="H21" s="2">
        <f>(E21/100)*H29</f>
        <v>37058613.102500245</v>
      </c>
    </row>
    <row r="22" spans="1:9" x14ac:dyDescent="0.25">
      <c r="A22" s="1" t="s">
        <v>23</v>
      </c>
      <c r="B22" s="2">
        <v>34854000</v>
      </c>
      <c r="C22" s="18">
        <f>(B22/B28)*100</f>
        <v>5.1536529069329005</v>
      </c>
      <c r="D22" s="2">
        <v>35607206.479999997</v>
      </c>
      <c r="E22" s="9">
        <f>(D22/D28)*100</f>
        <v>5.2220779098459484</v>
      </c>
      <c r="F22" s="2">
        <v>18453033.710000001</v>
      </c>
      <c r="G22" s="2">
        <f t="shared" si="0"/>
        <v>26727608.349801593</v>
      </c>
      <c r="H22" s="2">
        <f>(E22/100)*H29</f>
        <v>35510129.786952451</v>
      </c>
    </row>
    <row r="23" spans="1:9" x14ac:dyDescent="0.25">
      <c r="A23" s="1" t="s">
        <v>24</v>
      </c>
      <c r="B23" s="2">
        <v>6494000</v>
      </c>
      <c r="C23" s="18">
        <f>(B23/B28)*100</f>
        <v>0.96022901180990006</v>
      </c>
      <c r="D23" s="2">
        <v>6806831</v>
      </c>
      <c r="E23" s="9">
        <f>(D23/D28)*100</f>
        <v>0.99827549856010522</v>
      </c>
      <c r="F23" s="2">
        <v>4000603.23</v>
      </c>
      <c r="G23" s="2">
        <f t="shared" si="0"/>
        <v>5794524.5196428569</v>
      </c>
      <c r="H23" s="2">
        <f>(E23/100)*H29</f>
        <v>6788273.3902087156</v>
      </c>
    </row>
    <row r="24" spans="1:9" x14ac:dyDescent="0.25">
      <c r="A24" s="1" t="s">
        <v>25</v>
      </c>
      <c r="B24" s="2">
        <v>20552000</v>
      </c>
      <c r="C24" s="18">
        <f>(B24/B28)*100</f>
        <v>3.0389015476928036</v>
      </c>
      <c r="D24" s="2">
        <v>25300239</v>
      </c>
      <c r="E24" s="9">
        <f>(D24/D28)*100</f>
        <v>3.7104797667835179</v>
      </c>
      <c r="F24" s="2">
        <v>17781190.739999998</v>
      </c>
      <c r="G24" s="2">
        <f t="shared" si="0"/>
        <v>25754502.460714284</v>
      </c>
      <c r="H24" s="2">
        <f>(E24/100)*H29</f>
        <v>25231262.41412792</v>
      </c>
    </row>
    <row r="25" spans="1:9" x14ac:dyDescent="0.25">
      <c r="A25" s="1" t="s">
        <v>26</v>
      </c>
      <c r="B25" s="2">
        <v>16404000</v>
      </c>
      <c r="C25" s="18">
        <f>(B25/B28)*100</f>
        <v>2.4255615506205115</v>
      </c>
      <c r="D25" s="2">
        <v>16340228.01</v>
      </c>
      <c r="E25" s="9">
        <f>(D25/D28)*100</f>
        <v>2.396423425712868</v>
      </c>
      <c r="F25" s="2">
        <v>5609566.6100000003</v>
      </c>
      <c r="G25" s="2">
        <f t="shared" si="0"/>
        <v>8124967.5105158743</v>
      </c>
      <c r="H25" s="2">
        <f>(E25/100)*H29</f>
        <v>16295679.294847503</v>
      </c>
    </row>
    <row r="26" spans="1:9" x14ac:dyDescent="0.25">
      <c r="A26" s="1" t="s">
        <v>27</v>
      </c>
      <c r="B26" s="2">
        <v>7027000</v>
      </c>
      <c r="C26" s="18">
        <f>(B26/B28)*100</f>
        <v>1.0390405398811469</v>
      </c>
      <c r="D26" s="2">
        <v>7669000</v>
      </c>
      <c r="E26" s="9">
        <f>(D26/D28)*100</f>
        <v>1.1247193882817788</v>
      </c>
      <c r="F26" s="2">
        <v>4981939.0999999996</v>
      </c>
      <c r="G26" s="2">
        <f t="shared" si="0"/>
        <v>7215903.8551587285</v>
      </c>
      <c r="H26" s="2">
        <f>(E26/100)*H29</f>
        <v>7648091.8403160954</v>
      </c>
    </row>
    <row r="27" spans="1:9" x14ac:dyDescent="0.25">
      <c r="B27" s="2"/>
      <c r="C27" s="2"/>
      <c r="D27" s="2"/>
      <c r="E27" s="9"/>
      <c r="F27" s="2"/>
      <c r="G27" s="2"/>
      <c r="H27" s="2"/>
    </row>
    <row r="28" spans="1:9" x14ac:dyDescent="0.25">
      <c r="A28" s="7" t="s">
        <v>32</v>
      </c>
      <c r="B28" s="6">
        <f t="shared" ref="B28:H28" si="1">B4+B5+B10+B11+B12+B13+B14+B15+B16+B17+B18+B19+B20+B21+B22+B23+B24+B25+B26</f>
        <v>676297000</v>
      </c>
      <c r="C28" s="6">
        <f t="shared" si="1"/>
        <v>100</v>
      </c>
      <c r="D28" s="6">
        <f t="shared" si="1"/>
        <v>681858966.76999998</v>
      </c>
      <c r="E28" s="6">
        <f t="shared" si="1"/>
        <v>100</v>
      </c>
      <c r="F28" s="6">
        <f t="shared" si="1"/>
        <v>396139658.39000005</v>
      </c>
      <c r="G28" s="6">
        <f t="shared" si="1"/>
        <v>573773711.55694437</v>
      </c>
      <c r="H28" s="6">
        <f t="shared" si="1"/>
        <v>680746734.75068748</v>
      </c>
      <c r="I28" s="12"/>
    </row>
    <row r="29" spans="1:9" x14ac:dyDescent="0.25">
      <c r="B29" s="2">
        <v>676297000</v>
      </c>
      <c r="C29" s="2"/>
      <c r="D29" s="2">
        <v>681858966.76999998</v>
      </c>
      <c r="E29" s="2"/>
      <c r="F29" s="2">
        <v>396139658.38999999</v>
      </c>
      <c r="G29" s="2">
        <v>573773711.55999994</v>
      </c>
      <c r="H29" s="2">
        <v>680000000</v>
      </c>
      <c r="I29" s="11">
        <f>H29-H4</f>
        <v>658500000</v>
      </c>
    </row>
    <row r="30" spans="1:9" x14ac:dyDescent="0.25">
      <c r="B30" s="2"/>
      <c r="C30" s="2"/>
      <c r="D30" s="2"/>
      <c r="E30" s="2"/>
      <c r="F30" s="2"/>
      <c r="G30" s="2"/>
      <c r="H30" s="2"/>
    </row>
    <row r="31" spans="1:9" x14ac:dyDescent="0.25">
      <c r="A31" s="1" t="s">
        <v>35</v>
      </c>
      <c r="B31" s="6">
        <v>676297000</v>
      </c>
      <c r="C31" s="6"/>
      <c r="D31" s="2"/>
      <c r="E31" s="2"/>
      <c r="F31" s="1" t="s">
        <v>30</v>
      </c>
      <c r="G31" s="1" t="s">
        <v>31</v>
      </c>
      <c r="H31" s="2" t="s">
        <v>34</v>
      </c>
    </row>
    <row r="32" spans="1:9" x14ac:dyDescent="0.25">
      <c r="A32" s="2"/>
      <c r="F32" s="2"/>
      <c r="G32" s="2"/>
    </row>
    <row r="33" spans="1:8" x14ac:dyDescent="0.25">
      <c r="F33" s="6">
        <v>410789218.01999998</v>
      </c>
      <c r="G33" s="6">
        <f>(F33/252)*365</f>
        <v>594992319.75119042</v>
      </c>
      <c r="H33" s="6">
        <v>680000000</v>
      </c>
    </row>
    <row r="35" spans="1:8" x14ac:dyDescent="0.25">
      <c r="F35" s="2" t="s">
        <v>36</v>
      </c>
      <c r="G35" s="2" t="s">
        <v>37</v>
      </c>
      <c r="H35" s="2"/>
    </row>
    <row r="36" spans="1:8" x14ac:dyDescent="0.25">
      <c r="G36" s="2"/>
    </row>
    <row r="37" spans="1:8" x14ac:dyDescent="0.25">
      <c r="F37" s="11">
        <f>F33-F28</f>
        <v>14649559.629999936</v>
      </c>
      <c r="G37" s="2">
        <f>G33-G28</f>
        <v>21218608.194246054</v>
      </c>
    </row>
    <row r="38" spans="1:8" x14ac:dyDescent="0.25">
      <c r="A38" s="1" t="s">
        <v>15</v>
      </c>
      <c r="G38" s="2"/>
    </row>
    <row r="39" spans="1:8" x14ac:dyDescent="0.25">
      <c r="A39" s="1" t="s">
        <v>16</v>
      </c>
    </row>
    <row r="40" spans="1:8" x14ac:dyDescent="0.25">
      <c r="A40" s="1" t="s">
        <v>39</v>
      </c>
    </row>
    <row r="41" spans="1:8" x14ac:dyDescent="0.25">
      <c r="A41" s="1" t="s">
        <v>38</v>
      </c>
    </row>
    <row r="42" spans="1:8" x14ac:dyDescent="0.25">
      <c r="A42" s="1" t="s">
        <v>28</v>
      </c>
      <c r="B42" s="1">
        <v>252</v>
      </c>
    </row>
    <row r="43" spans="1:8" x14ac:dyDescent="0.25">
      <c r="B43" s="1">
        <f>252/365</f>
        <v>0.69041095890410964</v>
      </c>
      <c r="D43" s="4">
        <v>0.69</v>
      </c>
      <c r="E43" s="4"/>
    </row>
    <row r="44" spans="1:8" x14ac:dyDescent="0.25">
      <c r="D44" s="1">
        <f>1/0.69</f>
        <v>1.4492753623188408</v>
      </c>
      <c r="F44" s="5">
        <v>1.4500000000000001E-2</v>
      </c>
      <c r="G44" s="1">
        <f>(200/8)*12</f>
        <v>300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D37" sqref="D37"/>
    </sheetView>
  </sheetViews>
  <sheetFormatPr defaultRowHeight="15" x14ac:dyDescent="0.25"/>
  <cols>
    <col min="1" max="1" width="50.140625" style="1" customWidth="1"/>
    <col min="2" max="3" width="22.7109375" style="1" customWidth="1"/>
    <col min="4" max="4" width="23.5703125" style="1" customWidth="1"/>
    <col min="5" max="5" width="22.7109375" style="1" customWidth="1"/>
    <col min="6" max="6" width="28" style="1" customWidth="1"/>
    <col min="7" max="7" width="26.42578125" style="1" customWidth="1"/>
    <col min="8" max="8" width="31.85546875" style="1" customWidth="1"/>
    <col min="9" max="9" width="36.28515625" style="1" customWidth="1"/>
    <col min="10" max="10" width="31" customWidth="1"/>
    <col min="11" max="12" width="9.140625" style="1" customWidth="1"/>
    <col min="13" max="16384" width="9.140625" style="1"/>
  </cols>
  <sheetData>
    <row r="1" spans="1:10" s="16" customFormat="1" x14ac:dyDescent="0.25">
      <c r="A1" s="16" t="s">
        <v>46</v>
      </c>
      <c r="B1" s="16" t="s">
        <v>1</v>
      </c>
      <c r="C1" s="16" t="s">
        <v>41</v>
      </c>
      <c r="D1" s="16" t="s">
        <v>43</v>
      </c>
      <c r="E1" s="16" t="s">
        <v>9</v>
      </c>
      <c r="F1" s="16" t="s">
        <v>42</v>
      </c>
      <c r="G1" s="16" t="s">
        <v>29</v>
      </c>
      <c r="H1" s="16" t="s">
        <v>0</v>
      </c>
      <c r="I1" s="16" t="s">
        <v>33</v>
      </c>
      <c r="J1" s="27"/>
    </row>
    <row r="4" spans="1:10" s="13" customFormat="1" x14ac:dyDescent="0.25">
      <c r="A4" s="13" t="s">
        <v>2</v>
      </c>
      <c r="B4" s="14">
        <v>20810000</v>
      </c>
      <c r="C4" s="14">
        <f>(B4/B28)*100</f>
        <v>3.0770504674721315</v>
      </c>
      <c r="D4" s="22">
        <f>(I4/I29)*100</f>
        <v>3.1617647058823528</v>
      </c>
      <c r="E4" s="14">
        <v>20810000</v>
      </c>
      <c r="F4" s="25">
        <f>(E4/E28)*100</f>
        <v>3.0519507719577277</v>
      </c>
      <c r="G4" s="14">
        <v>12504192.1</v>
      </c>
      <c r="H4" s="14">
        <f>(G4/252)*365</f>
        <v>18111230.621031746</v>
      </c>
      <c r="I4" s="14">
        <v>21500000</v>
      </c>
    </row>
    <row r="5" spans="1:10" x14ac:dyDescent="0.25">
      <c r="A5" s="1" t="s">
        <v>3</v>
      </c>
      <c r="B5" s="2">
        <f>B6+B7+B8+B9</f>
        <v>10218000</v>
      </c>
      <c r="C5" s="15">
        <f>(B5/B28)*100</f>
        <v>1.5108746600975607</v>
      </c>
      <c r="D5" s="20">
        <f>(I5/I29)*100</f>
        <v>1.3772927332006142</v>
      </c>
      <c r="E5" s="2">
        <f>E6+E7+E8+E9</f>
        <v>9391194</v>
      </c>
      <c r="F5" s="10">
        <f>(E5/E28)*100</f>
        <v>1.3772927332006142</v>
      </c>
      <c r="G5" s="2">
        <f>G6+G7+G8+G9</f>
        <v>5029958.01</v>
      </c>
      <c r="H5" s="2">
        <f t="shared" ref="H5:H26" si="0">(G5/252)*365</f>
        <v>7285455.0541666662</v>
      </c>
      <c r="I5" s="2">
        <f>(F5/100)*I29</f>
        <v>9365590.5857641771</v>
      </c>
    </row>
    <row r="6" spans="1:10" x14ac:dyDescent="0.25">
      <c r="A6" s="3" t="s">
        <v>4</v>
      </c>
      <c r="B6" s="2">
        <v>4073000</v>
      </c>
      <c r="C6" s="15">
        <f>(B6/B28)*100</f>
        <v>0.60225019481085973</v>
      </c>
      <c r="D6" s="20">
        <f>(I6/I29)*100</f>
        <v>0.69005384240801848</v>
      </c>
      <c r="E6" s="2">
        <v>4705194</v>
      </c>
      <c r="F6" s="10">
        <f>(E6/E28)*100</f>
        <v>0.69005384240801859</v>
      </c>
      <c r="G6" s="2">
        <v>3010273.81</v>
      </c>
      <c r="H6" s="2">
        <f t="shared" si="0"/>
        <v>4360118.8121031746</v>
      </c>
      <c r="I6" s="2">
        <f>(F6/100)*I29</f>
        <v>4692366.1283745263</v>
      </c>
    </row>
    <row r="7" spans="1:10" x14ac:dyDescent="0.25">
      <c r="A7" s="3" t="s">
        <v>5</v>
      </c>
      <c r="B7" s="2">
        <v>595000</v>
      </c>
      <c r="C7" s="15">
        <f>(B7/B28)*100</f>
        <v>8.7979097940697651E-2</v>
      </c>
      <c r="D7" s="20">
        <f>(I7/I29)*100</f>
        <v>2.7864999840075365E-3</v>
      </c>
      <c r="E7" s="2">
        <v>19000</v>
      </c>
      <c r="F7" s="8">
        <f>(E7/E28)*100</f>
        <v>2.7864999840075361E-3</v>
      </c>
      <c r="G7" s="2">
        <v>0</v>
      </c>
      <c r="H7" s="2">
        <v>0</v>
      </c>
      <c r="I7" s="2">
        <f>(F7/100)*I29</f>
        <v>18948.199891251246</v>
      </c>
    </row>
    <row r="8" spans="1:10" x14ac:dyDescent="0.25">
      <c r="A8" s="3" t="s">
        <v>6</v>
      </c>
      <c r="B8" s="2">
        <v>141000</v>
      </c>
      <c r="C8" s="15">
        <f>(B8/B28)*100</f>
        <v>2.0848828251493055E-2</v>
      </c>
      <c r="D8" s="20">
        <f>(I8/I29)*100</f>
        <v>2.2438657765955421E-2</v>
      </c>
      <c r="E8" s="2">
        <v>153000</v>
      </c>
      <c r="F8" s="9">
        <f>(E8/E28)*100</f>
        <v>2.2438657765955421E-2</v>
      </c>
      <c r="G8" s="2">
        <v>66266.67</v>
      </c>
      <c r="H8" s="2">
        <f t="shared" si="0"/>
        <v>95981.486309523811</v>
      </c>
      <c r="I8" s="2">
        <f>(F8/100)*I29</f>
        <v>152582.87280849688</v>
      </c>
    </row>
    <row r="9" spans="1:10" x14ac:dyDescent="0.25">
      <c r="A9" s="3" t="s">
        <v>7</v>
      </c>
      <c r="B9" s="2">
        <v>5409000</v>
      </c>
      <c r="C9" s="15">
        <f>(B9/B28)*100</f>
        <v>0.79979653909451021</v>
      </c>
      <c r="D9" s="20">
        <f>(I9/I29)*100</f>
        <v>0.66201373304263267</v>
      </c>
      <c r="E9" s="2">
        <v>4514000</v>
      </c>
      <c r="F9" s="10">
        <f>(E9/E28)*100</f>
        <v>0.66201373304263256</v>
      </c>
      <c r="G9" s="2">
        <v>1953417.53</v>
      </c>
      <c r="H9" s="2">
        <f t="shared" si="0"/>
        <v>2829354.7557539684</v>
      </c>
      <c r="I9" s="2">
        <f>(F9/100)*I29</f>
        <v>4501693.384689902</v>
      </c>
    </row>
    <row r="10" spans="1:10" x14ac:dyDescent="0.25">
      <c r="A10" s="1" t="s">
        <v>8</v>
      </c>
      <c r="B10" s="2">
        <v>427000</v>
      </c>
      <c r="C10" s="15">
        <f>(B10/B28)*100</f>
        <v>6.3137940875088894E-2</v>
      </c>
      <c r="D10" s="20">
        <f>(I10/I29)*100</f>
        <v>6.8885212762544196E-2</v>
      </c>
      <c r="E10" s="2">
        <v>469700</v>
      </c>
      <c r="F10" s="10">
        <f>(E10/E28)*100</f>
        <v>6.8885212762544196E-2</v>
      </c>
      <c r="G10" s="2">
        <v>254825.55</v>
      </c>
      <c r="H10" s="2">
        <f t="shared" si="0"/>
        <v>369092.5625</v>
      </c>
      <c r="I10" s="2">
        <f>(F10/100)*I29</f>
        <v>468419.44678530056</v>
      </c>
    </row>
    <row r="11" spans="1:10" x14ac:dyDescent="0.25">
      <c r="A11" s="1" t="s">
        <v>10</v>
      </c>
      <c r="B11" s="2">
        <v>1963000</v>
      </c>
      <c r="C11" s="15">
        <f>(B11/B28)*100</f>
        <v>0.29025709118922605</v>
      </c>
      <c r="D11" s="20">
        <f>(I11/I29)*100</f>
        <v>0.32920341440008782</v>
      </c>
      <c r="E11" s="2">
        <v>2244703</v>
      </c>
      <c r="F11" s="10">
        <f>(E11/E28)*100</f>
        <v>0.32920341440008782</v>
      </c>
      <c r="G11" s="2">
        <v>1930907.64</v>
      </c>
      <c r="H11" s="2">
        <f t="shared" si="0"/>
        <v>2796751.145238095</v>
      </c>
      <c r="I11" s="2">
        <f>(F11/100)*I29</f>
        <v>2238583.2179205972</v>
      </c>
    </row>
    <row r="12" spans="1:10" x14ac:dyDescent="0.25">
      <c r="A12" s="1" t="s">
        <v>11</v>
      </c>
      <c r="B12" s="2">
        <v>989000</v>
      </c>
      <c r="C12" s="15">
        <f>(B12/B28)*100</f>
        <v>0.14623752582075628</v>
      </c>
      <c r="D12" s="20">
        <f>(I12/I29)*100</f>
        <v>0.15733913496540991</v>
      </c>
      <c r="E12" s="2">
        <v>1072831</v>
      </c>
      <c r="F12" s="10">
        <f>(E12/E28)*100</f>
        <v>0.15733913496540994</v>
      </c>
      <c r="G12" s="2">
        <v>546359.03</v>
      </c>
      <c r="H12" s="2">
        <f t="shared" si="0"/>
        <v>791353.35694444447</v>
      </c>
      <c r="I12" s="2">
        <f>(F12/100)*I29</f>
        <v>1069906.1177647875</v>
      </c>
    </row>
    <row r="13" spans="1:10" x14ac:dyDescent="0.25">
      <c r="A13" s="1" t="s">
        <v>12</v>
      </c>
      <c r="B13" s="2">
        <v>648000</v>
      </c>
      <c r="C13" s="15">
        <f>(B13/B28)*100</f>
        <v>9.5815891538776593E-2</v>
      </c>
      <c r="D13" s="20">
        <f>(I13/I29)*100</f>
        <v>9.5327631031836751E-2</v>
      </c>
      <c r="E13" s="2">
        <v>650000</v>
      </c>
      <c r="F13" s="10">
        <f>(E13/E28)*100</f>
        <v>9.5327631031836751E-2</v>
      </c>
      <c r="G13" s="2">
        <v>279831.45</v>
      </c>
      <c r="H13" s="2">
        <f t="shared" si="0"/>
        <v>405311.42559523816</v>
      </c>
      <c r="I13" s="2">
        <f>(F13/100)*I29</f>
        <v>648227.89101648994</v>
      </c>
    </row>
    <row r="14" spans="1:10" x14ac:dyDescent="0.25">
      <c r="A14" s="1" t="s">
        <v>13</v>
      </c>
      <c r="B14" s="2">
        <v>18504000</v>
      </c>
      <c r="C14" s="15">
        <f>(B14/B28)*100</f>
        <v>2.7360760139406208</v>
      </c>
      <c r="D14" s="20">
        <f>(I14/I29)*100</f>
        <v>2.8246967764705881</v>
      </c>
      <c r="E14" s="2">
        <v>19279364.989999998</v>
      </c>
      <c r="F14" s="10">
        <f>(E14/E28)*100</f>
        <v>2.8274710650689707</v>
      </c>
      <c r="G14" s="2">
        <v>12713192.970000001</v>
      </c>
      <c r="H14" s="2">
        <f t="shared" si="0"/>
        <v>18413950.135119047</v>
      </c>
      <c r="I14" s="2">
        <v>19207938.079999998</v>
      </c>
      <c r="J14" s="26"/>
    </row>
    <row r="15" spans="1:10" x14ac:dyDescent="0.25">
      <c r="A15" s="1" t="s">
        <v>47</v>
      </c>
      <c r="B15" s="2">
        <v>51329000</v>
      </c>
      <c r="C15" s="15">
        <f>(B15/B28)*100</f>
        <v>7.5897128036942343</v>
      </c>
      <c r="D15" s="20">
        <f>(I15/I29)*100</f>
        <v>7.2396064180015536</v>
      </c>
      <c r="E15" s="2">
        <v>49363905.520000003</v>
      </c>
      <c r="F15" s="10">
        <f>(E15/E28)*100</f>
        <v>7.2396064180015536</v>
      </c>
      <c r="G15" s="2">
        <v>29646547.460000001</v>
      </c>
      <c r="H15" s="2">
        <f t="shared" si="0"/>
        <v>42940435.805158734</v>
      </c>
      <c r="I15" s="2">
        <f>(F15/100)*I29</f>
        <v>49229323.642410569</v>
      </c>
    </row>
    <row r="16" spans="1:10" x14ac:dyDescent="0.25">
      <c r="A16" s="1" t="s">
        <v>17</v>
      </c>
      <c r="B16" s="2">
        <v>7034000</v>
      </c>
      <c r="C16" s="15">
        <f>(B16/B28)*100</f>
        <v>1.0400755880922139</v>
      </c>
      <c r="D16" s="20">
        <f>(I16/I29)*100</f>
        <v>0.89836539497562118</v>
      </c>
      <c r="E16" s="2">
        <v>6125585</v>
      </c>
      <c r="F16" s="10">
        <f>(E16/E28)*100</f>
        <v>0.89836539497562118</v>
      </c>
      <c r="G16" s="2">
        <v>1474353.63</v>
      </c>
      <c r="H16" s="2">
        <f t="shared" si="0"/>
        <v>2135472.5196428569</v>
      </c>
      <c r="I16" s="2">
        <f>(F16/100)*I29</f>
        <v>6108884.6858342243</v>
      </c>
    </row>
    <row r="17" spans="1:9" x14ac:dyDescent="0.25">
      <c r="A17" s="1" t="s">
        <v>44</v>
      </c>
      <c r="B17" s="2">
        <v>220071000</v>
      </c>
      <c r="C17" s="15">
        <f>(B17/B28)*100</f>
        <v>32.54058497967609</v>
      </c>
      <c r="D17" s="20">
        <f>(I17/I29)*100</f>
        <v>32.22</v>
      </c>
      <c r="E17" s="2">
        <v>220328611</v>
      </c>
      <c r="F17" s="10">
        <v>32.22</v>
      </c>
      <c r="G17" s="2">
        <v>125412932.61</v>
      </c>
      <c r="H17" s="2">
        <f t="shared" si="0"/>
        <v>181649684.13749999</v>
      </c>
      <c r="I17" s="2">
        <f>(F17/100)*I29</f>
        <v>219096000</v>
      </c>
    </row>
    <row r="18" spans="1:9" x14ac:dyDescent="0.25">
      <c r="A18" s="1" t="s">
        <v>19</v>
      </c>
      <c r="B18" s="2">
        <v>24447000</v>
      </c>
      <c r="C18" s="15">
        <f>(B18/B28)*100</f>
        <v>3.6148319451365305</v>
      </c>
      <c r="D18" s="20">
        <f>(I18/I29)*100</f>
        <v>3.5596340567282088</v>
      </c>
      <c r="E18" s="2">
        <v>24271684</v>
      </c>
      <c r="F18" s="10">
        <f>(E18/E28)*100</f>
        <v>3.5596340567282088</v>
      </c>
      <c r="G18" s="2">
        <v>14037677.84</v>
      </c>
      <c r="H18" s="2">
        <f t="shared" si="0"/>
        <v>20332350.839682538</v>
      </c>
      <c r="I18" s="2">
        <f>(F18/100)*I29</f>
        <v>24205511.58575182</v>
      </c>
    </row>
    <row r="19" spans="1:9" x14ac:dyDescent="0.25">
      <c r="A19" s="1" t="s">
        <v>45</v>
      </c>
      <c r="B19" s="2">
        <v>194420000</v>
      </c>
      <c r="C19" s="15">
        <f>(B19/B28)*100</f>
        <v>28.747724742236031</v>
      </c>
      <c r="D19" s="20">
        <f>(I19/I29)*100</f>
        <v>29.01</v>
      </c>
      <c r="E19" s="2">
        <v>197903493.77000001</v>
      </c>
      <c r="F19" s="10">
        <v>29.01</v>
      </c>
      <c r="G19" s="2">
        <v>123238651.84</v>
      </c>
      <c r="H19" s="2">
        <f t="shared" si="0"/>
        <v>178500428.26031747</v>
      </c>
      <c r="I19" s="2">
        <f>(F19/100)*I29</f>
        <v>197268000.00000003</v>
      </c>
    </row>
    <row r="20" spans="1:9" x14ac:dyDescent="0.25">
      <c r="A20" s="1" t="s">
        <v>21</v>
      </c>
      <c r="B20" s="2">
        <v>1011000</v>
      </c>
      <c r="C20" s="15">
        <f>(B20/B28)*100</f>
        <v>0.14949053448410979</v>
      </c>
      <c r="D20" s="20">
        <f>(I20/I29)*100</f>
        <v>0.15611248834087108</v>
      </c>
      <c r="E20" s="2">
        <v>1064467</v>
      </c>
      <c r="F20" s="10">
        <f>(E20/E28)*100</f>
        <v>0.15611248834087105</v>
      </c>
      <c r="G20" s="2">
        <v>468646.64</v>
      </c>
      <c r="H20" s="2">
        <f t="shared" si="0"/>
        <v>678793.74444444443</v>
      </c>
      <c r="I20" s="2">
        <f>(F20/100)*I29</f>
        <v>1061564.9207179232</v>
      </c>
    </row>
    <row r="21" spans="1:9" x14ac:dyDescent="0.25">
      <c r="A21" s="1" t="s">
        <v>22</v>
      </c>
      <c r="B21" s="2">
        <v>39095000</v>
      </c>
      <c r="C21" s="15">
        <f>(B21/B28)*100</f>
        <v>5.7807442588093689</v>
      </c>
      <c r="D21" s="20">
        <f>(I21/I29)*100</f>
        <v>5.4497960444853302</v>
      </c>
      <c r="E21" s="2">
        <v>37159923</v>
      </c>
      <c r="F21" s="10">
        <f>(E21/E28)*100</f>
        <v>5.4497960444853302</v>
      </c>
      <c r="G21" s="2">
        <v>17775248.23</v>
      </c>
      <c r="H21" s="2">
        <f t="shared" si="0"/>
        <v>25745895.253769841</v>
      </c>
      <c r="I21" s="2">
        <f>(F21/100)*I29</f>
        <v>37058613.102500245</v>
      </c>
    </row>
    <row r="22" spans="1:9" x14ac:dyDescent="0.25">
      <c r="A22" s="1" t="s">
        <v>23</v>
      </c>
      <c r="B22" s="2">
        <v>34854000</v>
      </c>
      <c r="C22" s="15">
        <f>(B22/B28)*100</f>
        <v>5.1536529069329005</v>
      </c>
      <c r="D22" s="20">
        <f>(I22/I29)*100</f>
        <v>5.2220779098459484</v>
      </c>
      <c r="E22" s="2">
        <v>35607206.479999997</v>
      </c>
      <c r="F22" s="10">
        <f>(E22/E28)*100</f>
        <v>5.2220779098459484</v>
      </c>
      <c r="G22" s="2">
        <v>18453033.710000001</v>
      </c>
      <c r="H22" s="2">
        <f t="shared" si="0"/>
        <v>26727608.349801593</v>
      </c>
      <c r="I22" s="2">
        <f>(F22/100)*I29</f>
        <v>35510129.786952451</v>
      </c>
    </row>
    <row r="23" spans="1:9" x14ac:dyDescent="0.25">
      <c r="A23" s="1" t="s">
        <v>24</v>
      </c>
      <c r="B23" s="2">
        <v>6494000</v>
      </c>
      <c r="C23" s="15">
        <f>(B23/B28)*100</f>
        <v>0.96022901180990006</v>
      </c>
      <c r="D23" s="20">
        <f>(I23/I29)*100</f>
        <v>0.99827549856010522</v>
      </c>
      <c r="E23" s="2">
        <v>6806831</v>
      </c>
      <c r="F23" s="10">
        <f>(E23/E28)*100</f>
        <v>0.99827549856010522</v>
      </c>
      <c r="G23" s="2">
        <v>4000603.23</v>
      </c>
      <c r="H23" s="2">
        <f t="shared" si="0"/>
        <v>5794524.5196428569</v>
      </c>
      <c r="I23" s="2">
        <f>(F23/100)*I29</f>
        <v>6788273.3902087156</v>
      </c>
    </row>
    <row r="24" spans="1:9" x14ac:dyDescent="0.25">
      <c r="A24" s="1" t="s">
        <v>25</v>
      </c>
      <c r="B24" s="2">
        <v>20552000</v>
      </c>
      <c r="C24" s="15">
        <f>(B24/B28)*100</f>
        <v>3.0389015476928036</v>
      </c>
      <c r="D24" s="20">
        <f>(I24/I29)*100</f>
        <v>3.7104797667835179</v>
      </c>
      <c r="E24" s="2">
        <v>25300239</v>
      </c>
      <c r="F24" s="10">
        <f>(E24/E28)*100</f>
        <v>3.7104797667835179</v>
      </c>
      <c r="G24" s="2">
        <v>17781190.739999998</v>
      </c>
      <c r="H24" s="2">
        <f t="shared" si="0"/>
        <v>25754502.460714284</v>
      </c>
      <c r="I24" s="2">
        <f>(F24/100)*I29</f>
        <v>25231262.41412792</v>
      </c>
    </row>
    <row r="25" spans="1:9" x14ac:dyDescent="0.25">
      <c r="A25" s="1" t="s">
        <v>26</v>
      </c>
      <c r="B25" s="2">
        <v>16404000</v>
      </c>
      <c r="C25" s="15">
        <f>(B25/B28)*100</f>
        <v>2.4255615506205115</v>
      </c>
      <c r="D25" s="20">
        <f>(I25/I29)*100</f>
        <v>2.396423425712868</v>
      </c>
      <c r="E25" s="2">
        <v>16340228.01</v>
      </c>
      <c r="F25" s="10">
        <f>(E25/E28)*100</f>
        <v>2.396423425712868</v>
      </c>
      <c r="G25" s="2">
        <v>5609566.6100000003</v>
      </c>
      <c r="H25" s="2">
        <f t="shared" si="0"/>
        <v>8124967.5105158743</v>
      </c>
      <c r="I25" s="2">
        <f>(F25/100)*I29</f>
        <v>16295679.294847503</v>
      </c>
    </row>
    <row r="26" spans="1:9" x14ac:dyDescent="0.25">
      <c r="A26" s="1" t="s">
        <v>27</v>
      </c>
      <c r="B26" s="2">
        <v>7027000</v>
      </c>
      <c r="C26" s="15">
        <f>(B26/B28)*100</f>
        <v>1.0390405398811469</v>
      </c>
      <c r="D26" s="20">
        <f>(I26/I29)*100</f>
        <v>1.1247193882817788</v>
      </c>
      <c r="E26" s="2">
        <v>7669000</v>
      </c>
      <c r="F26" s="10">
        <f>(E26/E28)*100</f>
        <v>1.1247193882817788</v>
      </c>
      <c r="G26" s="2">
        <v>4981939.0999999996</v>
      </c>
      <c r="H26" s="2">
        <f t="shared" si="0"/>
        <v>7215903.8551587285</v>
      </c>
      <c r="I26" s="2">
        <f>(F26/100)*I29</f>
        <v>7648091.8403160954</v>
      </c>
    </row>
    <row r="27" spans="1:9" x14ac:dyDescent="0.25">
      <c r="B27" s="2"/>
      <c r="C27" s="2"/>
      <c r="E27" s="2"/>
      <c r="F27" s="10"/>
      <c r="G27" s="2"/>
      <c r="H27" s="2"/>
      <c r="I27" s="2"/>
    </row>
    <row r="28" spans="1:9" x14ac:dyDescent="0.25">
      <c r="A28" s="7" t="s">
        <v>32</v>
      </c>
      <c r="B28" s="6">
        <f t="shared" ref="B28:I28" si="1">B4+B5+B10+B11+B12+B13+B14+B15+B16+B17+B18+B19+B20+B21+B22+B23+B24+B25+B26</f>
        <v>676297000</v>
      </c>
      <c r="C28" s="24">
        <f t="shared" si="1"/>
        <v>100</v>
      </c>
      <c r="D28" s="24">
        <f t="shared" si="1"/>
        <v>100.00000000042922</v>
      </c>
      <c r="E28" s="6">
        <f t="shared" si="1"/>
        <v>681858966.76999998</v>
      </c>
      <c r="F28" s="23">
        <f t="shared" si="1"/>
        <v>99.892960355102986</v>
      </c>
      <c r="G28" s="6">
        <f t="shared" si="1"/>
        <v>396139658.39000005</v>
      </c>
      <c r="H28" s="6">
        <f t="shared" si="1"/>
        <v>573773711.55694437</v>
      </c>
      <c r="I28" s="6">
        <f t="shared" si="1"/>
        <v>680000000.00291884</v>
      </c>
    </row>
    <row r="29" spans="1:9" x14ac:dyDescent="0.25">
      <c r="B29" s="2">
        <v>676297000</v>
      </c>
      <c r="C29" s="2"/>
      <c r="D29" s="11"/>
      <c r="E29" s="2">
        <v>681858966.76999998</v>
      </c>
      <c r="F29" s="2"/>
      <c r="G29" s="2">
        <v>396139658.38999999</v>
      </c>
      <c r="H29" s="2">
        <v>573773711.55999994</v>
      </c>
      <c r="I29" s="2">
        <v>680000000</v>
      </c>
    </row>
    <row r="30" spans="1:9" x14ac:dyDescent="0.25">
      <c r="B30" s="2"/>
      <c r="C30" s="2"/>
      <c r="E30" s="2"/>
      <c r="F30" s="2"/>
      <c r="G30" s="2"/>
      <c r="H30" s="2"/>
      <c r="I30" s="2"/>
    </row>
    <row r="31" spans="1:9" x14ac:dyDescent="0.25">
      <c r="A31" s="1" t="s">
        <v>35</v>
      </c>
      <c r="B31" s="6">
        <v>676297000</v>
      </c>
      <c r="C31" s="18"/>
      <c r="E31" s="2"/>
      <c r="F31" s="2"/>
      <c r="G31" s="1" t="s">
        <v>30</v>
      </c>
      <c r="H31" s="1" t="s">
        <v>31</v>
      </c>
      <c r="I31" s="2" t="s">
        <v>34</v>
      </c>
    </row>
    <row r="32" spans="1:9" x14ac:dyDescent="0.25">
      <c r="A32" s="2"/>
      <c r="G32" s="2"/>
      <c r="H32" s="2"/>
    </row>
    <row r="33" spans="1:9" x14ac:dyDescent="0.25">
      <c r="G33" s="6">
        <v>410789218.01999998</v>
      </c>
      <c r="H33" s="6">
        <f>(G33/252)*365</f>
        <v>594992319.75119042</v>
      </c>
      <c r="I33" s="6">
        <v>680000000</v>
      </c>
    </row>
    <row r="35" spans="1:9" x14ac:dyDescent="0.25">
      <c r="G35" s="2" t="s">
        <v>36</v>
      </c>
      <c r="H35" s="2" t="s">
        <v>37</v>
      </c>
      <c r="I35" s="2"/>
    </row>
    <row r="36" spans="1:9" x14ac:dyDescent="0.25">
      <c r="H36" s="2"/>
      <c r="I36" s="21"/>
    </row>
    <row r="37" spans="1:9" x14ac:dyDescent="0.25">
      <c r="G37" s="11">
        <f>G33-G28</f>
        <v>14649559.629999936</v>
      </c>
      <c r="H37" s="2">
        <f>H33-H28</f>
        <v>21218608.194246054</v>
      </c>
    </row>
    <row r="38" spans="1:9" x14ac:dyDescent="0.25">
      <c r="A38" s="1" t="s">
        <v>15</v>
      </c>
      <c r="H38" s="2"/>
    </row>
    <row r="39" spans="1:9" x14ac:dyDescent="0.25">
      <c r="A39" s="1" t="s">
        <v>16</v>
      </c>
    </row>
    <row r="40" spans="1:9" x14ac:dyDescent="0.25">
      <c r="A40" s="1" t="s">
        <v>39</v>
      </c>
    </row>
    <row r="41" spans="1:9" x14ac:dyDescent="0.25">
      <c r="A41" s="1" t="s">
        <v>38</v>
      </c>
    </row>
    <row r="42" spans="1:9" x14ac:dyDescent="0.25">
      <c r="A42" s="1" t="s">
        <v>28</v>
      </c>
      <c r="B42" s="1">
        <v>252</v>
      </c>
    </row>
    <row r="43" spans="1:9" x14ac:dyDescent="0.25">
      <c r="B43" s="1">
        <f>252/365</f>
        <v>0.69041095890410964</v>
      </c>
      <c r="E43" s="4">
        <v>0.69</v>
      </c>
      <c r="F43" s="4"/>
    </row>
    <row r="44" spans="1:9" x14ac:dyDescent="0.25">
      <c r="E44" s="1">
        <f>1/0.69</f>
        <v>1.4492753623188408</v>
      </c>
      <c r="G44" s="5">
        <v>1.4500000000000001E-2</v>
      </c>
      <c r="H44" s="1">
        <f>(200/8)*12</f>
        <v>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Despesas até 9 de setmbro</vt:lpstr>
      <vt:lpstr>Luquinha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2026-09-11T14:39:13Z</dcterms:modified>
</cp:coreProperties>
</file>